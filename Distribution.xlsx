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13_ncr:1_{8DB294A8-2909-3641-8DCA-B5256165F18F}" xr6:coauthVersionLast="47" xr6:coauthVersionMax="47" xr10:uidLastSave="{00000000-0000-0000-0000-000000000000}"/>
  <bookViews>
    <workbookView xWindow="680" yWindow="660" windowWidth="28040" windowHeight="16820" xr2:uid="{213FC82F-01DA-8242-9736-ECAADDE5AE2A}"/>
  </bookViews>
  <sheets>
    <sheet name="Question 1" sheetId="1" r:id="rId1"/>
    <sheet name="Question 2 " sheetId="2" r:id="rId2"/>
    <sheet name="Question 3,4,5" sheetId="3" r:id="rId3"/>
    <sheet name="Question 6,7,8" sheetId="4" r:id="rId4"/>
  </sheets>
  <definedNames>
    <definedName name="_xlchart.v1.0" hidden="1">'Question 2 '!$A$6:$A$105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4" l="1"/>
  <c r="A35" i="4"/>
  <c r="A34" i="4"/>
  <c r="A33" i="4"/>
  <c r="A32" i="4"/>
  <c r="A31" i="4"/>
  <c r="A30" i="4"/>
  <c r="C29" i="4"/>
  <c r="B29" i="4"/>
  <c r="A10" i="3"/>
  <c r="A11" i="3" s="1"/>
  <c r="A9" i="3"/>
  <c r="A104" i="2"/>
  <c r="A10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6" i="2"/>
  <c r="B7" i="1"/>
  <c r="A26" i="1"/>
  <c r="A27" i="1"/>
  <c r="A28" i="1"/>
  <c r="A29" i="1"/>
  <c r="A30" i="1"/>
  <c r="A31" i="1"/>
  <c r="A32" i="1"/>
  <c r="A33" i="1"/>
  <c r="A34" i="1"/>
  <c r="A35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6" i="1"/>
  <c r="B6" i="1" l="1"/>
</calcChain>
</file>

<file path=xl/sharedStrings.xml><?xml version="1.0" encoding="utf-8"?>
<sst xmlns="http://schemas.openxmlformats.org/spreadsheetml/2006/main" count="92" uniqueCount="86">
  <si>
    <t>BINOM.DIST)</t>
  </si>
  <si>
    <t>Question 1  Simulate 30 rolls with =RANDBETWEEN(1,6). What is the probability of rolling a 3 exactly 5 times? (Hint: Use</t>
  </si>
  <si>
    <t xml:space="preserve">Answer </t>
  </si>
  <si>
    <t>Describe the shape of the distribution.</t>
  </si>
  <si>
    <t>2. Generate 100 values in Excel using the continuous uniform distribution RAND() and plot a histogram.</t>
  </si>
  <si>
    <t>ANSWER</t>
  </si>
  <si>
    <r>
      <t>Uniform Distribution</t>
    </r>
    <r>
      <rPr>
        <sz val="12"/>
        <color rgb="FF000000"/>
        <rFont val="Arial"/>
        <family val="2"/>
      </rPr>
      <t>: Since you're using RAND(), the values are generated uniformly between 0 and 1, meaning each value has an equal probability of occurring within this range. The histogram should resemble a </t>
    </r>
    <r>
      <rPr>
        <b/>
        <sz val="12"/>
        <color rgb="FF000000"/>
        <rFont val="Arial"/>
        <family val="2"/>
      </rPr>
      <t>flat, even distribution</t>
    </r>
    <r>
      <rPr>
        <sz val="12"/>
        <color rgb="FF000000"/>
        <rFont val="Arial"/>
        <family val="2"/>
      </rPr>
      <t>where the frequency of values is roughly the same across the bins.</t>
    </r>
  </si>
  <si>
    <r>
      <t>Expected Shape</t>
    </r>
    <r>
      <rPr>
        <sz val="12"/>
        <color rgb="FF000000"/>
        <rFont val="Arial"/>
        <family val="2"/>
      </rPr>
      <t>: The histogram will likely have a roughly rectangular shape, indicating that the data points are spread evenly across the range from 0 to 1. There won't be any skewness or concentration toward one end of the range, which is characteristic of a </t>
    </r>
    <r>
      <rPr>
        <b/>
        <sz val="12"/>
        <color rgb="FF000000"/>
        <rFont val="Arial"/>
        <family val="2"/>
      </rPr>
      <t>uniform distribution</t>
    </r>
    <r>
      <rPr>
        <sz val="12"/>
        <color rgb="FF000000"/>
        <rFont val="Arial"/>
        <family val="2"/>
      </rPr>
      <t>.</t>
    </r>
  </si>
  <si>
    <t>55 if the data follows a normal distribution?</t>
  </si>
  <si>
    <t xml:space="preserve">Mean = 50 </t>
  </si>
  <si>
    <t>Standard Deviation = 5</t>
  </si>
  <si>
    <t>Q 4. What is the concept of standardization (z-score), and why is it important in data analysis? Explain the
formula and how standardization transforms a dataset.</t>
  </si>
  <si>
    <t>Standardization is the process of rescaling data so that it has a mean of 0 and a standard deviation of 1.</t>
  </si>
  <si>
    <t>It is often referred to as the z-score transformation.</t>
  </si>
  <si>
    <t>The z-score tells us how many standard deviations a data point is from the mean.</t>
  </si>
  <si>
    <t>The formula for the z-score is:</t>
  </si>
  <si>
    <t>z = \frac{x - \mu}{\sigma}</t>
  </si>
  <si>
    <t>Where:</t>
  </si>
  <si>
    <t>Comparability: Different features may have different scales (e.g., income in thousands vs. age in years). Standardization puts them on the same scale.</t>
  </si>
  <si>
    <t>Improves model performance: Many machine learning algorithms (like regression, SVM, k-means, PCA) are sensitive to scale. Standardization ensures fair weighting.</t>
  </si>
  <si>
    <t>Outlier detection: Z-scores highlight extreme values (e.g., a z-score &gt; 3 often indicates an outlier).</t>
  </si>
  <si>
    <t>Interpretability: A z-score of +2 means the value is 2 standard deviations above the mean, making results easier to understand.</t>
  </si>
  <si>
    <t>Before standardization: Data may have arbitrary units and ranges (e.g., heights in cm, weights in kg).</t>
  </si>
  <si>
    <t>After standardization:</t>
  </si>
  <si>
    <t>Mean becomes 0</t>
  </si>
  <si>
    <t>Standard deviation becomes 1</t>
  </si>
  <si>
    <t>Values are expressed in terms of deviations from the mean</t>
  </si>
  <si>
    <t>Concept of Standardization (Z-Score)</t>
  </si>
  <si>
    <t>Formula</t>
  </si>
  <si>
    <t>Why It’s Important in Data Analysis</t>
  </si>
  <si>
    <t xml:space="preserve"> How Standardization Transforms a Dataset</t>
  </si>
  <si>
    <r>
      <t>x</t>
    </r>
    <r>
      <rPr>
        <sz val="15"/>
        <color rgb="FF26221F"/>
        <rFont val="Arial"/>
        <family val="2"/>
      </rPr>
      <t xml:space="preserve"> = the data point</t>
    </r>
  </si>
  <si>
    <r>
      <t>\mu</t>
    </r>
    <r>
      <rPr>
        <sz val="15"/>
        <color rgb="FF26221F"/>
        <rFont val="Arial"/>
        <family val="2"/>
      </rPr>
      <t xml:space="preserve"> = mean of the dataset</t>
    </r>
  </si>
  <si>
    <r>
      <t>\sigma</t>
    </r>
    <r>
      <rPr>
        <sz val="15"/>
        <color rgb="FF26221F"/>
        <rFont val="Arial"/>
        <family val="2"/>
      </rPr>
      <t xml:space="preserve"> = standard deviation of the dataset</t>
    </r>
  </si>
  <si>
    <t>Q 3. A dataset has a mean of 50 and a standard deviation of 5. What percentage of values lie between 45 and</t>
  </si>
  <si>
    <t>Q5. What is Kurtosis and their type?</t>
  </si>
  <si>
    <t>Kurtosis is a statistical measure that describes the shape of a distribution’s tails compared to a normal distribution.</t>
  </si>
  <si>
    <t>It tells us whether the data has heavy tails (more extreme values) or light tails (fewer extreme values).</t>
  </si>
  <si>
    <t>In simple terms, kurtosis indicates how much of the variance in your dataset is due to outliers.</t>
  </si>
  <si>
    <t>The formula for sample kurtosis is:</t>
  </si>
  <si>
    <t>K = \frac{n \cdot \sum (x_i - \bar{x})^4}{\left(\sum (x_i - \bar{x})^2\right)^2}</t>
  </si>
  <si>
    <t>Often, we use excess kurtosis:</t>
  </si>
  <si>
    <t>\text{Excess Kurtosis} = K - 3</t>
  </si>
  <si>
    <t>Subtracting 3 makes the normal distribution’s kurtosis = 0, which is easier for interpretation.</t>
  </si>
  <si>
    <t>There are three main types:</t>
  </si>
  <si>
    <t>Mesokurtic (Kurtosis ≈ 0)</t>
  </si>
  <si>
    <t>Distribution similar to the normal distribution.</t>
  </si>
  <si>
    <t>Moderate tails, no extreme outliers.</t>
  </si>
  <si>
    <t>Example: Standard normal distribution.</t>
  </si>
  <si>
    <t>Leptokurtic (Kurtosis &gt; 0)</t>
  </si>
  <si>
    <t>Heavy tails, sharp peak.</t>
  </si>
  <si>
    <t>More prone to outliers.</t>
  </si>
  <si>
    <t>Example: Student’s t-distribution with low degrees of freedom.</t>
  </si>
  <si>
    <t>Platykurtic (Kurtosis &lt; 0)</t>
  </si>
  <si>
    <t>Light tails, flatter peak.</t>
  </si>
  <si>
    <t>Fewer outliers compared to normal distribution.</t>
  </si>
  <si>
    <t>Example: Uniform distribution.</t>
  </si>
  <si>
    <t>Formula for Kurtosis</t>
  </si>
  <si>
    <t>Types of Kurtosis</t>
  </si>
  <si>
    <t>The uniform distribution is a good model for rolling a fair die because each outcome (1–6) is equally likely, unbiased, and perfectly matches the definition of a discrete uniform distribution.</t>
  </si>
  <si>
    <t>Q 6. Explain why the uniform distribution is a good model for the outcome of rolling a fair die.</t>
  </si>
  <si>
    <t>A uniform distribution means that all outcomes are equally likely.</t>
  </si>
  <si>
    <t>In a discrete uniform distribution, each possible value has the same probability.</t>
  </si>
  <si>
    <t>A standard die has 6 faces numbered 1 through 6.</t>
  </si>
  <si>
    <t>If the die is fair, each face has an equal chance of appearing.</t>
  </si>
  <si>
    <t>The probability of any outcome is:</t>
  </si>
  <si>
    <t>P(X = k) = \frac{1}{6}, \quad \text{for } k = 1,2,3,4,5,6</t>
  </si>
  <si>
    <t>Rolling a Fair Die</t>
  </si>
  <si>
    <t>Q 7. Use Excel to compute the probability of getting at least 8 successes in 15 trials with success probability 0.5</t>
  </si>
  <si>
    <r>
      <t>Number of trials (</t>
    </r>
    <r>
      <rPr>
        <sz val="12"/>
        <color rgb="FF000000"/>
        <rFont val="Arial"/>
        <family val="2"/>
      </rPr>
      <t>n</t>
    </r>
    <r>
      <rPr>
        <sz val="15"/>
        <color rgb="FF26221F"/>
        <rFont val="Arial"/>
        <family val="2"/>
      </rPr>
      <t>) = 15</t>
    </r>
  </si>
  <si>
    <r>
      <t>Probability of success (</t>
    </r>
    <r>
      <rPr>
        <sz val="12"/>
        <color rgb="FF000000"/>
        <rFont val="Arial"/>
        <family val="2"/>
      </rPr>
      <t>p</t>
    </r>
    <r>
      <rPr>
        <sz val="15"/>
        <color rgb="FF26221F"/>
        <rFont val="Arial"/>
        <family val="2"/>
      </rPr>
      <t>) = 0.5</t>
    </r>
  </si>
  <si>
    <r>
      <t xml:space="preserve">We want </t>
    </r>
    <r>
      <rPr>
        <sz val="12"/>
        <color rgb="FF000000"/>
        <rFont val="Arial"/>
        <family val="2"/>
      </rPr>
      <t>P(X \geq 8)</t>
    </r>
    <r>
      <rPr>
        <sz val="15"/>
        <color rgb="FF26221F"/>
        <rFont val="Arial"/>
        <family val="2"/>
      </rPr>
      <t xml:space="preserve">, where </t>
    </r>
    <r>
      <rPr>
        <sz val="12"/>
        <color rgb="FF000000"/>
        <rFont val="Arial"/>
        <family val="2"/>
      </rPr>
      <t>X</t>
    </r>
    <r>
      <rPr>
        <sz val="15"/>
        <color rgb="FF26221F"/>
        <rFont val="Arial"/>
        <family val="2"/>
      </rPr>
      <t xml:space="preserve"> is the number of successes.</t>
    </r>
  </si>
  <si>
    <t>Q 8. How does log transformation help in stabilizing variance and making data more normally distributed?</t>
  </si>
  <si>
    <t>A log transformation applies the natural logarithm (or log base 10) to each data value:</t>
  </si>
  <si>
    <t>y^\prime = \log(y)</t>
  </si>
  <si>
    <t>It’s commonly used when data is skewed (unequal variance across ranges).</t>
  </si>
  <si>
    <t>Variance stabilization:</t>
  </si>
  <si>
    <t>In many datasets, larger values tend to have larger variance (e.g., income, population sizes).</t>
  </si>
  <si>
    <t>The log function compresses large values more than small ones, reducing the spread.</t>
  </si>
  <si>
    <t>This makes variance more uniform across the range of data.</t>
  </si>
  <si>
    <t>Reducing skewness:</t>
  </si>
  <si>
    <t>Many real-world datasets (like income, reaction times, biological measures) are right-skewed (long tail of large values).</t>
  </si>
  <si>
    <t>Log transformation pulls in the long tail, making the distribution more symmetric.</t>
  </si>
  <si>
    <t>Closer to normality:</t>
  </si>
  <si>
    <t>Many statistical tests (t-tests, regression, ANOVA) assume normality.</t>
  </si>
  <si>
    <t>Log transformation helps meet this assumption, improving model validity.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</si>
</sst>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9" formatCode="0.0000%"/>
  </numFmts>
  <fonts count="19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16"/>
      <color rgb="FFFF0000"/>
      <name val="Arial"/>
      <family val="2"/>
    </font>
    <font>
      <sz val="16"/>
      <color rgb="FF000000"/>
      <name val="Arial"/>
      <family val="2"/>
    </font>
    <font>
      <b/>
      <sz val="14"/>
      <color rgb="FFFF0000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20"/>
      <color rgb="FF26221F"/>
      <name val="Ginto Copilot Variable"/>
    </font>
    <font>
      <sz val="12"/>
      <color theme="1"/>
      <name val="Helvetica"/>
      <family val="2"/>
    </font>
    <font>
      <sz val="15"/>
      <color rgb="FF26221F"/>
      <name val="Arial"/>
      <family val="2"/>
    </font>
    <font>
      <sz val="12"/>
      <color theme="1"/>
      <name val="Arial"/>
      <family val="2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/>
    </xf>
    <xf numFmtId="2" fontId="0" fillId="0" borderId="0" xfId="0" applyNumberFormat="1"/>
    <xf numFmtId="0" fontId="5" fillId="0" borderId="0" xfId="0" applyFont="1"/>
    <xf numFmtId="0" fontId="6" fillId="2" borderId="1" xfId="0" applyFont="1" applyFill="1" applyBorder="1"/>
    <xf numFmtId="0" fontId="7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2" fontId="9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1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6" fillId="0" borderId="0" xfId="0" applyFont="1"/>
    <xf numFmtId="9" fontId="17" fillId="0" borderId="0" xfId="0" applyNumberFormat="1" applyFont="1"/>
    <xf numFmtId="2" fontId="18" fillId="0" borderId="0" xfId="0" applyNumberFormat="1" applyFont="1"/>
    <xf numFmtId="179" fontId="0" fillId="0" borderId="0" xfId="1" applyNumberFormat="1" applyFont="1"/>
    <xf numFmtId="164" fontId="17" fillId="0" borderId="0" xfId="0" applyNumberFormat="1" applyFont="1"/>
    <xf numFmtId="164" fontId="1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D3BFEC9A-AFBA-484B-BD56-0D14224743C1}">
          <cx:dataLabels pos="inEnd">
            <cx:spPr>
              <a:solidFill>
                <a:schemeClr val="accent1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400">
                    <a:solidFill>
                      <a:schemeClr val="tx1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2400" b="0" i="0" u="none" strike="noStrike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6</xdr:row>
      <xdr:rowOff>38100</xdr:rowOff>
    </xdr:from>
    <xdr:to>
      <xdr:col>4</xdr:col>
      <xdr:colOff>381000</xdr:colOff>
      <xdr:row>28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08DEA0-8C29-22DA-9BD1-FF54B241BF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000" y="2908300"/>
              <a:ext cx="7353300" cy="450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EFB0-C2BD-424A-861E-E930956226C8}">
  <dimension ref="A1:B35"/>
  <sheetViews>
    <sheetView tabSelected="1" workbookViewId="0">
      <selection activeCell="E14" sqref="E14"/>
    </sheetView>
  </sheetViews>
  <sheetFormatPr baseColWidth="10" defaultRowHeight="16"/>
  <sheetData>
    <row r="1" spans="1:2" ht="18">
      <c r="A1" s="1" t="s">
        <v>1</v>
      </c>
    </row>
    <row r="2" spans="1:2" ht="18">
      <c r="A2" s="1" t="s">
        <v>0</v>
      </c>
    </row>
    <row r="4" spans="1:2" ht="20">
      <c r="A4" s="2" t="s">
        <v>2</v>
      </c>
    </row>
    <row r="6" spans="1:2">
      <c r="A6">
        <f ca="1">RANDBETWEEN(1,6)</f>
        <v>4</v>
      </c>
      <c r="B6">
        <f ca="1">COUNTIF(A6:A35,3)</f>
        <v>2</v>
      </c>
    </row>
    <row r="7" spans="1:2" ht="23">
      <c r="A7">
        <f t="shared" ref="A7:A35" ca="1" si="0">RANDBETWEEN(1,6)</f>
        <v>4</v>
      </c>
      <c r="B7" s="22">
        <f>_xlfn.BINOM.DIST(5,30,1/6,FALSE)</f>
        <v>0.19210813105163416</v>
      </c>
    </row>
    <row r="8" spans="1:2">
      <c r="A8">
        <f t="shared" ca="1" si="0"/>
        <v>2</v>
      </c>
    </row>
    <row r="9" spans="1:2">
      <c r="A9">
        <f t="shared" ca="1" si="0"/>
        <v>2</v>
      </c>
    </row>
    <row r="10" spans="1:2">
      <c r="A10">
        <f t="shared" ca="1" si="0"/>
        <v>4</v>
      </c>
    </row>
    <row r="11" spans="1:2">
      <c r="A11">
        <f t="shared" ca="1" si="0"/>
        <v>5</v>
      </c>
    </row>
    <row r="12" spans="1:2">
      <c r="A12">
        <f t="shared" ca="1" si="0"/>
        <v>1</v>
      </c>
    </row>
    <row r="13" spans="1:2">
      <c r="A13">
        <f t="shared" ca="1" si="0"/>
        <v>1</v>
      </c>
    </row>
    <row r="14" spans="1:2">
      <c r="A14">
        <f t="shared" ca="1" si="0"/>
        <v>5</v>
      </c>
    </row>
    <row r="15" spans="1:2">
      <c r="A15">
        <f t="shared" ca="1" si="0"/>
        <v>5</v>
      </c>
    </row>
    <row r="16" spans="1:2">
      <c r="A16">
        <f t="shared" ca="1" si="0"/>
        <v>6</v>
      </c>
    </row>
    <row r="17" spans="1:1">
      <c r="A17">
        <f t="shared" ca="1" si="0"/>
        <v>5</v>
      </c>
    </row>
    <row r="18" spans="1:1">
      <c r="A18">
        <f t="shared" ca="1" si="0"/>
        <v>5</v>
      </c>
    </row>
    <row r="19" spans="1:1">
      <c r="A19">
        <f t="shared" ca="1" si="0"/>
        <v>3</v>
      </c>
    </row>
    <row r="20" spans="1:1">
      <c r="A20">
        <f t="shared" ca="1" si="0"/>
        <v>2</v>
      </c>
    </row>
    <row r="21" spans="1:1">
      <c r="A21">
        <f t="shared" ca="1" si="0"/>
        <v>5</v>
      </c>
    </row>
    <row r="22" spans="1:1">
      <c r="A22">
        <f t="shared" ca="1" si="0"/>
        <v>2</v>
      </c>
    </row>
    <row r="23" spans="1:1">
      <c r="A23">
        <f t="shared" ca="1" si="0"/>
        <v>5</v>
      </c>
    </row>
    <row r="24" spans="1:1">
      <c r="A24">
        <f t="shared" ca="1" si="0"/>
        <v>5</v>
      </c>
    </row>
    <row r="25" spans="1:1">
      <c r="A25">
        <f t="shared" ca="1" si="0"/>
        <v>5</v>
      </c>
    </row>
    <row r="26" spans="1:1">
      <c r="A26">
        <f ca="1">RANDBETWEEN(1,6)</f>
        <v>2</v>
      </c>
    </row>
    <row r="27" spans="1:1">
      <c r="A27">
        <f t="shared" ca="1" si="0"/>
        <v>6</v>
      </c>
    </row>
    <row r="28" spans="1:1">
      <c r="A28">
        <f t="shared" ca="1" si="0"/>
        <v>5</v>
      </c>
    </row>
    <row r="29" spans="1:1">
      <c r="A29">
        <f t="shared" ca="1" si="0"/>
        <v>1</v>
      </c>
    </row>
    <row r="30" spans="1:1">
      <c r="A30">
        <f t="shared" ca="1" si="0"/>
        <v>3</v>
      </c>
    </row>
    <row r="31" spans="1:1">
      <c r="A31">
        <f t="shared" ca="1" si="0"/>
        <v>5</v>
      </c>
    </row>
    <row r="32" spans="1:1">
      <c r="A32">
        <f t="shared" ca="1" si="0"/>
        <v>1</v>
      </c>
    </row>
    <row r="33" spans="1:1">
      <c r="A33">
        <f t="shared" ca="1" si="0"/>
        <v>2</v>
      </c>
    </row>
    <row r="34" spans="1:1">
      <c r="A34">
        <f t="shared" ca="1" si="0"/>
        <v>6</v>
      </c>
    </row>
    <row r="35" spans="1:1">
      <c r="A35">
        <f t="shared" ca="1" si="0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4E61-E114-D24C-9B9C-B1C23142E831}">
  <dimension ref="A1:D105"/>
  <sheetViews>
    <sheetView workbookViewId="0">
      <selection activeCell="F11" sqref="F11"/>
    </sheetView>
  </sheetViews>
  <sheetFormatPr baseColWidth="10" defaultRowHeight="16"/>
  <cols>
    <col min="3" max="3" width="45.1640625" customWidth="1"/>
    <col min="4" max="4" width="43" customWidth="1"/>
  </cols>
  <sheetData>
    <row r="1" spans="1:4" ht="20">
      <c r="A1" s="4" t="s">
        <v>4</v>
      </c>
    </row>
    <row r="2" spans="1:4" ht="20">
      <c r="A2" s="4" t="s">
        <v>3</v>
      </c>
    </row>
    <row r="4" spans="1:4" ht="18">
      <c r="A4" s="5" t="s">
        <v>5</v>
      </c>
    </row>
    <row r="6" spans="1:4" ht="136">
      <c r="A6" s="3">
        <f ca="1">RAND()</f>
        <v>0.86973848106441765</v>
      </c>
      <c r="C6" s="7" t="s">
        <v>6</v>
      </c>
      <c r="D6" s="7" t="s">
        <v>7</v>
      </c>
    </row>
    <row r="7" spans="1:4">
      <c r="A7" s="3">
        <f t="shared" ref="A7:A70" ca="1" si="0">RAND()</f>
        <v>0.75023336595146151</v>
      </c>
    </row>
    <row r="8" spans="1:4">
      <c r="A8" s="3">
        <f t="shared" ca="1" si="0"/>
        <v>0.26630357443529529</v>
      </c>
      <c r="C8" s="6"/>
    </row>
    <row r="9" spans="1:4">
      <c r="A9" s="3">
        <f t="shared" ca="1" si="0"/>
        <v>0.74636190967557536</v>
      </c>
    </row>
    <row r="10" spans="1:4">
      <c r="A10" s="3">
        <f t="shared" ca="1" si="0"/>
        <v>0.17661544657150052</v>
      </c>
    </row>
    <row r="11" spans="1:4">
      <c r="A11" s="3">
        <f t="shared" ca="1" si="0"/>
        <v>0.62892309825774162</v>
      </c>
    </row>
    <row r="12" spans="1:4">
      <c r="A12" s="3">
        <f t="shared" ca="1" si="0"/>
        <v>0.16575495280562136</v>
      </c>
    </row>
    <row r="13" spans="1:4">
      <c r="A13" s="3">
        <f t="shared" ca="1" si="0"/>
        <v>0.73756823627780721</v>
      </c>
    </row>
    <row r="14" spans="1:4">
      <c r="A14" s="3">
        <f t="shared" ca="1" si="0"/>
        <v>0.90155495220275461</v>
      </c>
    </row>
    <row r="15" spans="1:4">
      <c r="A15" s="3">
        <f t="shared" ca="1" si="0"/>
        <v>0.53358519124691761</v>
      </c>
    </row>
    <row r="16" spans="1:4">
      <c r="A16" s="3">
        <f t="shared" ca="1" si="0"/>
        <v>0.59781193638862495</v>
      </c>
    </row>
    <row r="17" spans="1:1">
      <c r="A17" s="3">
        <f t="shared" ca="1" si="0"/>
        <v>0.29053647089873014</v>
      </c>
    </row>
    <row r="18" spans="1:1">
      <c r="A18" s="3">
        <f t="shared" ca="1" si="0"/>
        <v>0.42893962368648086</v>
      </c>
    </row>
    <row r="19" spans="1:1">
      <c r="A19" s="3">
        <f t="shared" ca="1" si="0"/>
        <v>0.13680582062709168</v>
      </c>
    </row>
    <row r="20" spans="1:1">
      <c r="A20" s="3">
        <f t="shared" ca="1" si="0"/>
        <v>0.31918183184798166</v>
      </c>
    </row>
    <row r="21" spans="1:1">
      <c r="A21" s="3">
        <f t="shared" ca="1" si="0"/>
        <v>0.85256116638500767</v>
      </c>
    </row>
    <row r="22" spans="1:1">
      <c r="A22" s="3">
        <f t="shared" ca="1" si="0"/>
        <v>0.12206267440427343</v>
      </c>
    </row>
    <row r="23" spans="1:1">
      <c r="A23" s="3">
        <f t="shared" ca="1" si="0"/>
        <v>0.9711075702529155</v>
      </c>
    </row>
    <row r="24" spans="1:1">
      <c r="A24" s="3">
        <f t="shared" ca="1" si="0"/>
        <v>0.6124297275238817</v>
      </c>
    </row>
    <row r="25" spans="1:1">
      <c r="A25" s="3">
        <f t="shared" ca="1" si="0"/>
        <v>0.47909028080212646</v>
      </c>
    </row>
    <row r="26" spans="1:1">
      <c r="A26" s="3">
        <f t="shared" ca="1" si="0"/>
        <v>0.45020478800106623</v>
      </c>
    </row>
    <row r="27" spans="1:1">
      <c r="A27" s="3">
        <f t="shared" ca="1" si="0"/>
        <v>0.46097222440987751</v>
      </c>
    </row>
    <row r="28" spans="1:1">
      <c r="A28" s="3">
        <f t="shared" ca="1" si="0"/>
        <v>0.83309186446812244</v>
      </c>
    </row>
    <row r="29" spans="1:1">
      <c r="A29" s="3">
        <f t="shared" ca="1" si="0"/>
        <v>0.5214559002201189</v>
      </c>
    </row>
    <row r="30" spans="1:1">
      <c r="A30" s="3">
        <f t="shared" ca="1" si="0"/>
        <v>0.54479187353373504</v>
      </c>
    </row>
    <row r="31" spans="1:1">
      <c r="A31" s="3">
        <f t="shared" ca="1" si="0"/>
        <v>0.74574252060212054</v>
      </c>
    </row>
    <row r="32" spans="1:1">
      <c r="A32" s="3">
        <f t="shared" ca="1" si="0"/>
        <v>0.16393088843024339</v>
      </c>
    </row>
    <row r="33" spans="1:1">
      <c r="A33" s="3">
        <f t="shared" ca="1" si="0"/>
        <v>0.99297792148835673</v>
      </c>
    </row>
    <row r="34" spans="1:1">
      <c r="A34" s="3">
        <f t="shared" ca="1" si="0"/>
        <v>6.6347812343413803E-2</v>
      </c>
    </row>
    <row r="35" spans="1:1">
      <c r="A35" s="3">
        <f t="shared" ca="1" si="0"/>
        <v>4.7715694663620134E-2</v>
      </c>
    </row>
    <row r="36" spans="1:1">
      <c r="A36" s="3">
        <f t="shared" ca="1" si="0"/>
        <v>1.9796832881956106E-2</v>
      </c>
    </row>
    <row r="37" spans="1:1">
      <c r="A37" s="3">
        <f t="shared" ca="1" si="0"/>
        <v>3.2811082381806633E-2</v>
      </c>
    </row>
    <row r="38" spans="1:1">
      <c r="A38" s="3">
        <f t="shared" ca="1" si="0"/>
        <v>0.12851389811183178</v>
      </c>
    </row>
    <row r="39" spans="1:1">
      <c r="A39" s="3">
        <f t="shared" ca="1" si="0"/>
        <v>0.35525132607020371</v>
      </c>
    </row>
    <row r="40" spans="1:1">
      <c r="A40" s="3">
        <f t="shared" ca="1" si="0"/>
        <v>0.49417051249730992</v>
      </c>
    </row>
    <row r="41" spans="1:1">
      <c r="A41" s="3">
        <f t="shared" ca="1" si="0"/>
        <v>0.4298342457442349</v>
      </c>
    </row>
    <row r="42" spans="1:1">
      <c r="A42" s="3">
        <f t="shared" ca="1" si="0"/>
        <v>0.61856513177530026</v>
      </c>
    </row>
    <row r="43" spans="1:1">
      <c r="A43" s="3">
        <f t="shared" ca="1" si="0"/>
        <v>0.20408766023992142</v>
      </c>
    </row>
    <row r="44" spans="1:1">
      <c r="A44" s="3">
        <f t="shared" ca="1" si="0"/>
        <v>0.4257702679513018</v>
      </c>
    </row>
    <row r="45" spans="1:1">
      <c r="A45" s="3">
        <f t="shared" ca="1" si="0"/>
        <v>0.17667474017729135</v>
      </c>
    </row>
    <row r="46" spans="1:1">
      <c r="A46" s="3">
        <f t="shared" ca="1" si="0"/>
        <v>0.44886382576292772</v>
      </c>
    </row>
    <row r="47" spans="1:1">
      <c r="A47" s="3">
        <f t="shared" ca="1" si="0"/>
        <v>0.63622324298401312</v>
      </c>
    </row>
    <row r="48" spans="1:1">
      <c r="A48" s="3">
        <f t="shared" ca="1" si="0"/>
        <v>0.76816125239115152</v>
      </c>
    </row>
    <row r="49" spans="1:1">
      <c r="A49" s="3">
        <f t="shared" ca="1" si="0"/>
        <v>0.99980121085576734</v>
      </c>
    </row>
    <row r="50" spans="1:1">
      <c r="A50" s="3">
        <f t="shared" ca="1" si="0"/>
        <v>0.53300326856608071</v>
      </c>
    </row>
    <row r="51" spans="1:1">
      <c r="A51" s="3">
        <f t="shared" ca="1" si="0"/>
        <v>9.1814406430667073E-2</v>
      </c>
    </row>
    <row r="52" spans="1:1">
      <c r="A52" s="3">
        <f t="shared" ca="1" si="0"/>
        <v>0.48779946087031689</v>
      </c>
    </row>
    <row r="53" spans="1:1">
      <c r="A53" s="3">
        <f t="shared" ca="1" si="0"/>
        <v>0.35614903866997927</v>
      </c>
    </row>
    <row r="54" spans="1:1">
      <c r="A54" s="3">
        <f t="shared" ca="1" si="0"/>
        <v>0.92682216503452897</v>
      </c>
    </row>
    <row r="55" spans="1:1">
      <c r="A55" s="3">
        <f t="shared" ca="1" si="0"/>
        <v>0.30625163010746204</v>
      </c>
    </row>
    <row r="56" spans="1:1">
      <c r="A56" s="3">
        <f t="shared" ca="1" si="0"/>
        <v>0.13947293941107264</v>
      </c>
    </row>
    <row r="57" spans="1:1">
      <c r="A57" s="3">
        <f t="shared" ca="1" si="0"/>
        <v>0.36009109565142727</v>
      </c>
    </row>
    <row r="58" spans="1:1">
      <c r="A58" s="3">
        <f t="shared" ca="1" si="0"/>
        <v>0.37571747713240555</v>
      </c>
    </row>
    <row r="59" spans="1:1">
      <c r="A59" s="3">
        <f t="shared" ca="1" si="0"/>
        <v>0.9518565387567921</v>
      </c>
    </row>
    <row r="60" spans="1:1">
      <c r="A60" s="3">
        <f t="shared" ca="1" si="0"/>
        <v>0.90196194324140233</v>
      </c>
    </row>
    <row r="61" spans="1:1">
      <c r="A61" s="3">
        <f t="shared" ca="1" si="0"/>
        <v>0.49096591819338964</v>
      </c>
    </row>
    <row r="62" spans="1:1">
      <c r="A62" s="3">
        <f t="shared" ca="1" si="0"/>
        <v>0.89483082152950844</v>
      </c>
    </row>
    <row r="63" spans="1:1">
      <c r="A63" s="3">
        <f t="shared" ca="1" si="0"/>
        <v>0.94725725657186921</v>
      </c>
    </row>
    <row r="64" spans="1:1">
      <c r="A64" s="3">
        <f t="shared" ca="1" si="0"/>
        <v>0.11756798929702239</v>
      </c>
    </row>
    <row r="65" spans="1:1">
      <c r="A65" s="3">
        <f t="shared" ca="1" si="0"/>
        <v>0.18201930332875482</v>
      </c>
    </row>
    <row r="66" spans="1:1">
      <c r="A66" s="3">
        <f t="shared" ca="1" si="0"/>
        <v>0.90089582988949746</v>
      </c>
    </row>
    <row r="67" spans="1:1">
      <c r="A67" s="3">
        <f t="shared" ca="1" si="0"/>
        <v>0.1224047809655513</v>
      </c>
    </row>
    <row r="68" spans="1:1">
      <c r="A68" s="3">
        <f t="shared" ca="1" si="0"/>
        <v>0.97223876492968242</v>
      </c>
    </row>
    <row r="69" spans="1:1">
      <c r="A69" s="3">
        <f t="shared" ca="1" si="0"/>
        <v>0.37864217241104781</v>
      </c>
    </row>
    <row r="70" spans="1:1">
      <c r="A70" s="3">
        <f t="shared" ca="1" si="0"/>
        <v>0.12771193676599746</v>
      </c>
    </row>
    <row r="71" spans="1:1">
      <c r="A71" s="3">
        <f t="shared" ref="A71:A103" ca="1" si="1">RAND()</f>
        <v>0.92863788465201602</v>
      </c>
    </row>
    <row r="72" spans="1:1">
      <c r="A72" s="3">
        <f t="shared" ca="1" si="1"/>
        <v>0.72554162007624423</v>
      </c>
    </row>
    <row r="73" spans="1:1">
      <c r="A73" s="3">
        <f t="shared" ca="1" si="1"/>
        <v>0.74648097081590359</v>
      </c>
    </row>
    <row r="74" spans="1:1">
      <c r="A74" s="3">
        <f t="shared" ca="1" si="1"/>
        <v>0.82725298900557809</v>
      </c>
    </row>
    <row r="75" spans="1:1">
      <c r="A75" s="3">
        <f t="shared" ca="1" si="1"/>
        <v>0.85300409659349163</v>
      </c>
    </row>
    <row r="76" spans="1:1">
      <c r="A76" s="3">
        <f t="shared" ca="1" si="1"/>
        <v>0.82647075118473079</v>
      </c>
    </row>
    <row r="77" spans="1:1">
      <c r="A77" s="3">
        <f t="shared" ca="1" si="1"/>
        <v>6.9799978517517958E-2</v>
      </c>
    </row>
    <row r="78" spans="1:1">
      <c r="A78" s="3">
        <f t="shared" ca="1" si="1"/>
        <v>0.66587999592724789</v>
      </c>
    </row>
    <row r="79" spans="1:1">
      <c r="A79" s="3">
        <f t="shared" ca="1" si="1"/>
        <v>0.15823220377965452</v>
      </c>
    </row>
    <row r="80" spans="1:1">
      <c r="A80" s="3">
        <f t="shared" ca="1" si="1"/>
        <v>0.91399515154311584</v>
      </c>
    </row>
    <row r="81" spans="1:1">
      <c r="A81" s="3">
        <f t="shared" ca="1" si="1"/>
        <v>0.96965320503797137</v>
      </c>
    </row>
    <row r="82" spans="1:1">
      <c r="A82" s="3">
        <f t="shared" ca="1" si="1"/>
        <v>0.31933747621527286</v>
      </c>
    </row>
    <row r="83" spans="1:1">
      <c r="A83" s="3">
        <f t="shared" ca="1" si="1"/>
        <v>0.75152982326556539</v>
      </c>
    </row>
    <row r="84" spans="1:1">
      <c r="A84" s="3">
        <f t="shared" ca="1" si="1"/>
        <v>0.68316603192626646</v>
      </c>
    </row>
    <row r="85" spans="1:1">
      <c r="A85" s="3">
        <f t="shared" ca="1" si="1"/>
        <v>0.97046169424020334</v>
      </c>
    </row>
    <row r="86" spans="1:1">
      <c r="A86" s="3">
        <f t="shared" ca="1" si="1"/>
        <v>0.25848510995788876</v>
      </c>
    </row>
    <row r="87" spans="1:1">
      <c r="A87" s="3">
        <f t="shared" ca="1" si="1"/>
        <v>0.96391357674238975</v>
      </c>
    </row>
    <row r="88" spans="1:1">
      <c r="A88" s="3">
        <f t="shared" ca="1" si="1"/>
        <v>0.30063573772149021</v>
      </c>
    </row>
    <row r="89" spans="1:1">
      <c r="A89" s="3">
        <f t="shared" ca="1" si="1"/>
        <v>0.63073080903009671</v>
      </c>
    </row>
    <row r="90" spans="1:1">
      <c r="A90" s="3">
        <f t="shared" ca="1" si="1"/>
        <v>0.4506085947366969</v>
      </c>
    </row>
    <row r="91" spans="1:1">
      <c r="A91" s="3">
        <f t="shared" ca="1" si="1"/>
        <v>0.91314993634727093</v>
      </c>
    </row>
    <row r="92" spans="1:1">
      <c r="A92" s="3">
        <f t="shared" ca="1" si="1"/>
        <v>0.30067449264345836</v>
      </c>
    </row>
    <row r="93" spans="1:1">
      <c r="A93" s="3">
        <f t="shared" ca="1" si="1"/>
        <v>0.38916918252629129</v>
      </c>
    </row>
    <row r="94" spans="1:1">
      <c r="A94" s="3">
        <f t="shared" ca="1" si="1"/>
        <v>0.60907396733256081</v>
      </c>
    </row>
    <row r="95" spans="1:1">
      <c r="A95" s="3">
        <f t="shared" ca="1" si="1"/>
        <v>0.69518757252023378</v>
      </c>
    </row>
    <row r="96" spans="1:1">
      <c r="A96" s="3">
        <f t="shared" ca="1" si="1"/>
        <v>7.8324696208161071E-2</v>
      </c>
    </row>
    <row r="97" spans="1:1">
      <c r="A97" s="3">
        <f t="shared" ca="1" si="1"/>
        <v>0.16213064023588342</v>
      </c>
    </row>
    <row r="98" spans="1:1">
      <c r="A98" s="3">
        <f t="shared" ca="1" si="1"/>
        <v>0.73125193724087378</v>
      </c>
    </row>
    <row r="99" spans="1:1">
      <c r="A99" s="3">
        <f t="shared" ca="1" si="1"/>
        <v>0.69228299442295538</v>
      </c>
    </row>
    <row r="100" spans="1:1">
      <c r="A100" s="3">
        <f t="shared" ca="1" si="1"/>
        <v>0.28496148725783299</v>
      </c>
    </row>
    <row r="101" spans="1:1">
      <c r="A101" s="3">
        <f t="shared" ca="1" si="1"/>
        <v>0.32504149108751113</v>
      </c>
    </row>
    <row r="102" spans="1:1">
      <c r="A102" s="3">
        <f t="shared" ca="1" si="1"/>
        <v>0.63736368043211822</v>
      </c>
    </row>
    <row r="103" spans="1:1">
      <c r="A103" s="3">
        <f t="shared" ca="1" si="1"/>
        <v>0.95533692416250415</v>
      </c>
    </row>
    <row r="104" spans="1:1">
      <c r="A104" s="3">
        <f ca="1">RAND()</f>
        <v>0.48693480313030479</v>
      </c>
    </row>
    <row r="105" spans="1:1">
      <c r="A105" s="3">
        <f t="shared" ref="A105" ca="1" si="2">RAND()</f>
        <v>3.7894783213775485E-3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BB63-48C5-0D4C-8CCB-322A299C0E9C}">
  <dimension ref="A1:A87"/>
  <sheetViews>
    <sheetView topLeftCell="A76" workbookViewId="0">
      <selection activeCell="D11" sqref="D11"/>
    </sheetView>
  </sheetViews>
  <sheetFormatPr baseColWidth="10" defaultRowHeight="16"/>
  <cols>
    <col min="1" max="1" width="16.83203125" customWidth="1"/>
  </cols>
  <sheetData>
    <row r="1" spans="1:1" ht="18">
      <c r="A1" s="1" t="s">
        <v>34</v>
      </c>
    </row>
    <row r="2" spans="1:1" ht="18">
      <c r="A2" s="1" t="s">
        <v>8</v>
      </c>
    </row>
    <row r="4" spans="1:1" ht="18">
      <c r="A4" s="10" t="s">
        <v>5</v>
      </c>
    </row>
    <row r="6" spans="1:1" ht="20">
      <c r="A6" s="8" t="s">
        <v>9</v>
      </c>
    </row>
    <row r="7" spans="1:1" ht="20">
      <c r="A7" s="8" t="s">
        <v>10</v>
      </c>
    </row>
    <row r="8" spans="1:1" ht="20">
      <c r="A8" s="8"/>
    </row>
    <row r="9" spans="1:1" ht="20">
      <c r="A9" s="9">
        <f>_xlfn.NORM.DIST(45,50,5,TRUE)</f>
        <v>0.15865525393145699</v>
      </c>
    </row>
    <row r="10" spans="1:1" ht="20">
      <c r="A10" s="9">
        <f>_xlfn.NORM.DIST(55,50,5,TRUE)</f>
        <v>0.84134474606854304</v>
      </c>
    </row>
    <row r="11" spans="1:1" ht="20">
      <c r="A11" s="23">
        <f>A10-A9</f>
        <v>0.68268949213708607</v>
      </c>
    </row>
    <row r="12" spans="1:1">
      <c r="A12" s="3"/>
    </row>
    <row r="14" spans="1:1" s="8" customFormat="1" ht="20">
      <c r="A14" s="8" t="s">
        <v>11</v>
      </c>
    </row>
    <row r="16" spans="1:1" ht="18">
      <c r="A16" s="10" t="s">
        <v>5</v>
      </c>
    </row>
    <row r="18" spans="1:1" ht="25">
      <c r="A18" s="11" t="s">
        <v>27</v>
      </c>
    </row>
    <row r="20" spans="1:1" ht="19">
      <c r="A20" s="13" t="s">
        <v>12</v>
      </c>
    </row>
    <row r="21" spans="1:1" ht="19">
      <c r="A21" s="13" t="s">
        <v>13</v>
      </c>
    </row>
    <row r="22" spans="1:1" ht="19">
      <c r="A22" s="13" t="s">
        <v>14</v>
      </c>
    </row>
    <row r="24" spans="1:1">
      <c r="A24" s="12"/>
    </row>
    <row r="25" spans="1:1" ht="25">
      <c r="A25" s="11" t="s">
        <v>28</v>
      </c>
    </row>
    <row r="26" spans="1:1" ht="19">
      <c r="A26" s="13" t="s">
        <v>15</v>
      </c>
    </row>
    <row r="27" spans="1:1">
      <c r="A27" s="14" t="s">
        <v>16</v>
      </c>
    </row>
    <row r="28" spans="1:1">
      <c r="A28" s="14"/>
    </row>
    <row r="29" spans="1:1" ht="19">
      <c r="A29" s="13" t="s">
        <v>17</v>
      </c>
    </row>
    <row r="30" spans="1:1">
      <c r="A30" s="14"/>
    </row>
    <row r="31" spans="1:1" ht="19">
      <c r="A31" s="15" t="s">
        <v>31</v>
      </c>
    </row>
    <row r="32" spans="1:1" ht="19">
      <c r="A32" s="15" t="s">
        <v>32</v>
      </c>
    </row>
    <row r="33" spans="1:1" ht="19">
      <c r="A33" s="15" t="s">
        <v>33</v>
      </c>
    </row>
    <row r="35" spans="1:1">
      <c r="A35" s="12"/>
    </row>
    <row r="36" spans="1:1" ht="25">
      <c r="A36" s="11" t="s">
        <v>29</v>
      </c>
    </row>
    <row r="38" spans="1:1" ht="19">
      <c r="A38" s="13" t="s">
        <v>18</v>
      </c>
    </row>
    <row r="39" spans="1:1" ht="19">
      <c r="A39" s="13" t="s">
        <v>19</v>
      </c>
    </row>
    <row r="40" spans="1:1" ht="19">
      <c r="A40" s="13" t="s">
        <v>20</v>
      </c>
    </row>
    <row r="41" spans="1:1" ht="19">
      <c r="A41" s="13" t="s">
        <v>21</v>
      </c>
    </row>
    <row r="43" spans="1:1">
      <c r="A43" s="12"/>
    </row>
    <row r="44" spans="1:1" ht="25">
      <c r="A44" s="11" t="s">
        <v>30</v>
      </c>
    </row>
    <row r="46" spans="1:1" ht="19">
      <c r="A46" s="13" t="s">
        <v>22</v>
      </c>
    </row>
    <row r="47" spans="1:1" ht="19">
      <c r="A47" s="13" t="s">
        <v>23</v>
      </c>
    </row>
    <row r="48" spans="1:1" ht="19">
      <c r="A48" s="13" t="s">
        <v>24</v>
      </c>
    </row>
    <row r="49" spans="1:1" ht="19">
      <c r="A49" s="13" t="s">
        <v>25</v>
      </c>
    </row>
    <row r="50" spans="1:1" ht="19">
      <c r="A50" s="13" t="s">
        <v>26</v>
      </c>
    </row>
    <row r="51" spans="1:1" ht="19">
      <c r="A51" s="13"/>
    </row>
    <row r="53" spans="1:1" ht="18">
      <c r="A53" s="1" t="s">
        <v>35</v>
      </c>
    </row>
    <row r="55" spans="1:1" ht="21">
      <c r="A55" s="16" t="s">
        <v>5</v>
      </c>
    </row>
    <row r="57" spans="1:1" ht="19">
      <c r="A57" s="13" t="s">
        <v>36</v>
      </c>
    </row>
    <row r="58" spans="1:1" ht="19">
      <c r="A58" s="13" t="s">
        <v>37</v>
      </c>
    </row>
    <row r="59" spans="1:1" ht="19">
      <c r="A59" s="13" t="s">
        <v>38</v>
      </c>
    </row>
    <row r="61" spans="1:1">
      <c r="A61" s="12"/>
    </row>
    <row r="62" spans="1:1" ht="25">
      <c r="A62" s="11" t="s">
        <v>57</v>
      </c>
    </row>
    <row r="63" spans="1:1" ht="19">
      <c r="A63" s="13" t="s">
        <v>39</v>
      </c>
    </row>
    <row r="64" spans="1:1">
      <c r="A64" s="14" t="s">
        <v>40</v>
      </c>
    </row>
    <row r="65" spans="1:1">
      <c r="A65" s="14"/>
    </row>
    <row r="66" spans="1:1" ht="19">
      <c r="A66" s="13" t="s">
        <v>41</v>
      </c>
    </row>
    <row r="67" spans="1:1">
      <c r="A67" s="14" t="s">
        <v>42</v>
      </c>
    </row>
    <row r="69" spans="1:1" ht="19">
      <c r="A69" s="13" t="s">
        <v>43</v>
      </c>
    </row>
    <row r="70" spans="1:1">
      <c r="A70" s="12"/>
    </row>
    <row r="71" spans="1:1" ht="25">
      <c r="A71" s="11" t="s">
        <v>58</v>
      </c>
    </row>
    <row r="72" spans="1:1" ht="19">
      <c r="A72" s="13" t="s">
        <v>44</v>
      </c>
    </row>
    <row r="73" spans="1:1">
      <c r="A73" s="14"/>
    </row>
    <row r="74" spans="1:1" ht="19">
      <c r="A74" s="13" t="s">
        <v>45</v>
      </c>
    </row>
    <row r="75" spans="1:1" ht="19">
      <c r="A75" s="13" t="s">
        <v>46</v>
      </c>
    </row>
    <row r="76" spans="1:1" ht="19">
      <c r="A76" s="13" t="s">
        <v>47</v>
      </c>
    </row>
    <row r="77" spans="1:1" ht="19">
      <c r="A77" s="13" t="s">
        <v>48</v>
      </c>
    </row>
    <row r="78" spans="1:1" ht="19">
      <c r="A78" s="13"/>
    </row>
    <row r="79" spans="1:1" ht="19">
      <c r="A79" s="13" t="s">
        <v>49</v>
      </c>
    </row>
    <row r="80" spans="1:1" ht="19">
      <c r="A80" s="13" t="s">
        <v>50</v>
      </c>
    </row>
    <row r="81" spans="1:1" ht="19">
      <c r="A81" s="13" t="s">
        <v>51</v>
      </c>
    </row>
    <row r="82" spans="1:1" ht="19">
      <c r="A82" s="13" t="s">
        <v>52</v>
      </c>
    </row>
    <row r="83" spans="1:1" ht="19">
      <c r="A83" s="13"/>
    </row>
    <row r="84" spans="1:1" ht="19">
      <c r="A84" s="13" t="s">
        <v>53</v>
      </c>
    </row>
    <row r="85" spans="1:1" ht="19">
      <c r="A85" s="13" t="s">
        <v>54</v>
      </c>
    </row>
    <row r="86" spans="1:1" ht="19">
      <c r="A86" s="13" t="s">
        <v>55</v>
      </c>
    </row>
    <row r="87" spans="1:1" ht="19">
      <c r="A87" s="1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1DBD-B9B7-9640-86E2-AE60F2A3C763}">
  <dimension ref="A2:C58"/>
  <sheetViews>
    <sheetView workbookViewId="0">
      <selection activeCell="H52" sqref="H52"/>
    </sheetView>
  </sheetViews>
  <sheetFormatPr baseColWidth="10" defaultRowHeight="16"/>
  <cols>
    <col min="1" max="1" width="12.1640625" bestFit="1" customWidth="1"/>
    <col min="3" max="3" width="12.1640625" bestFit="1" customWidth="1"/>
  </cols>
  <sheetData>
    <row r="2" spans="1:1" ht="18">
      <c r="A2" s="1" t="s">
        <v>60</v>
      </c>
    </row>
    <row r="4" spans="1:1" ht="18">
      <c r="A4" s="17" t="s">
        <v>5</v>
      </c>
    </row>
    <row r="6" spans="1:1" ht="19">
      <c r="A6" s="13" t="s">
        <v>59</v>
      </c>
    </row>
    <row r="8" spans="1:1" ht="19">
      <c r="A8" s="13" t="s">
        <v>61</v>
      </c>
    </row>
    <row r="9" spans="1:1" ht="19">
      <c r="A9" s="13" t="s">
        <v>62</v>
      </c>
    </row>
    <row r="11" spans="1:1">
      <c r="A11" s="12"/>
    </row>
    <row r="12" spans="1:1" ht="25">
      <c r="A12" s="11" t="s">
        <v>67</v>
      </c>
    </row>
    <row r="14" spans="1:1" ht="19">
      <c r="A14" s="13" t="s">
        <v>63</v>
      </c>
    </row>
    <row r="15" spans="1:1" ht="19">
      <c r="A15" s="13" t="s">
        <v>64</v>
      </c>
    </row>
    <row r="16" spans="1:1" ht="19">
      <c r="A16" s="13" t="s">
        <v>65</v>
      </c>
    </row>
    <row r="17" spans="1:3">
      <c r="A17" s="14"/>
    </row>
    <row r="18" spans="1:3" ht="18">
      <c r="A18" s="18" t="s">
        <v>66</v>
      </c>
    </row>
    <row r="21" spans="1:3" ht="18">
      <c r="A21" s="1" t="s">
        <v>68</v>
      </c>
    </row>
    <row r="23" spans="1:3" ht="18">
      <c r="A23" s="17" t="s">
        <v>5</v>
      </c>
    </row>
    <row r="25" spans="1:3" ht="19">
      <c r="A25" s="13" t="s">
        <v>69</v>
      </c>
    </row>
    <row r="26" spans="1:3" ht="19">
      <c r="A26" s="13" t="s">
        <v>70</v>
      </c>
    </row>
    <row r="27" spans="1:3" ht="19">
      <c r="A27" s="13" t="s">
        <v>71</v>
      </c>
    </row>
    <row r="29" spans="1:3" ht="23">
      <c r="B29" s="20">
        <f>1- _xlfn.BINOM.DIST(7,15,0.5,TRUE)</f>
        <v>0.5</v>
      </c>
      <c r="C29" s="19">
        <f>B29</f>
        <v>0.5</v>
      </c>
    </row>
    <row r="30" spans="1:3">
      <c r="A30">
        <f>_xlfn.BINOM.DIST(8,15,0.5,FALSE)</f>
        <v>0.19638061523437506</v>
      </c>
      <c r="B30" s="3"/>
    </row>
    <row r="31" spans="1:3">
      <c r="A31">
        <f>_xlfn.BINOM.DIST(9,15,0.5,FALSE)</f>
        <v>0.152740478515625</v>
      </c>
      <c r="B31" s="3"/>
      <c r="C31" s="21"/>
    </row>
    <row r="32" spans="1:3">
      <c r="A32">
        <f>_xlfn.BINOM.DIST(10,15,0.5,FALSE)</f>
        <v>9.1644287109375042E-2</v>
      </c>
      <c r="B32" s="3"/>
    </row>
    <row r="33" spans="1:2">
      <c r="A33">
        <f>_xlfn.BINOM.DIST(11,15,0.5,FALSE)</f>
        <v>4.1656494140625021E-2</v>
      </c>
      <c r="B33" s="3"/>
    </row>
    <row r="34" spans="1:2">
      <c r="A34">
        <f>_xlfn.BINOM.DIST(12,15,0.5,FALSE)</f>
        <v>1.3885498046874986E-2</v>
      </c>
      <c r="B34" s="3"/>
    </row>
    <row r="35" spans="1:2">
      <c r="A35">
        <f>_xlfn.BINOM.DIST(13,15,0.5,FALSE)</f>
        <v>3.2043457031250035E-3</v>
      </c>
    </row>
    <row r="36" spans="1:2">
      <c r="A36">
        <f>_xlfn.BINOM.DIST(14,15,0.5,FALSE)</f>
        <v>4.5776367187500022E-4</v>
      </c>
    </row>
    <row r="38" spans="1:2" ht="18">
      <c r="A38" s="1" t="s">
        <v>72</v>
      </c>
    </row>
    <row r="40" spans="1:2" ht="18">
      <c r="A40" s="17" t="s">
        <v>5</v>
      </c>
    </row>
    <row r="42" spans="1:2" ht="19">
      <c r="A42" s="13" t="s">
        <v>73</v>
      </c>
    </row>
    <row r="43" spans="1:2">
      <c r="A43" s="14"/>
    </row>
    <row r="44" spans="1:2">
      <c r="A44" s="14" t="s">
        <v>74</v>
      </c>
    </row>
    <row r="45" spans="1:2">
      <c r="A45" s="14"/>
    </row>
    <row r="46" spans="1:2" ht="19">
      <c r="A46" s="13" t="s">
        <v>75</v>
      </c>
    </row>
    <row r="48" spans="1:2" ht="19">
      <c r="A48" s="13" t="s">
        <v>76</v>
      </c>
    </row>
    <row r="49" spans="1:1" ht="19">
      <c r="A49" s="13" t="s">
        <v>77</v>
      </c>
    </row>
    <row r="50" spans="1:1" ht="19">
      <c r="A50" s="13" t="s">
        <v>78</v>
      </c>
    </row>
    <row r="51" spans="1:1" ht="19">
      <c r="A51" s="13" t="s">
        <v>79</v>
      </c>
    </row>
    <row r="53" spans="1:1" ht="19">
      <c r="A53" s="13" t="s">
        <v>80</v>
      </c>
    </row>
    <row r="54" spans="1:1" ht="19">
      <c r="A54" s="13" t="s">
        <v>81</v>
      </c>
    </row>
    <row r="55" spans="1:1" ht="19">
      <c r="A55" s="13" t="s">
        <v>82</v>
      </c>
    </row>
    <row r="56" spans="1:1" ht="19">
      <c r="A56" s="13" t="s">
        <v>83</v>
      </c>
    </row>
    <row r="57" spans="1:1" ht="19">
      <c r="A57" s="13" t="s">
        <v>84</v>
      </c>
    </row>
    <row r="58" spans="1:1" ht="19">
      <c r="A58" s="1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 </vt:lpstr>
      <vt:lpstr>Question 3,4,5</vt:lpstr>
      <vt:lpstr>Question 6,7,8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khanna</dc:creator>
  <cp:lastModifiedBy>Girish khanna</cp:lastModifiedBy>
  <dcterms:created xsi:type="dcterms:W3CDTF">2026-01-31T16:40:13Z</dcterms:created>
  <dcterms:modified xsi:type="dcterms:W3CDTF">2026-02-02T07:22:30Z</dcterms:modified>
</cp:coreProperties>
</file>